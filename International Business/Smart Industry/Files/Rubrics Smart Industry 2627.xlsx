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iveadminwindesheim-my.sharepoint.com/personal/ek0117736_windesheim_nl/Documents/Windesheim/Smarter Industry/"/>
    </mc:Choice>
  </mc:AlternateContent>
  <xr:revisionPtr revIDLastSave="13" documentId="8_{E427191E-A482-47B5-AD79-5D816260B4AC}" xr6:coauthVersionLast="47" xr6:coauthVersionMax="47" xr10:uidLastSave="{CD2ADD95-5E0B-44DE-8C75-F4605B2F4ADF}"/>
  <bookViews>
    <workbookView xWindow="28680" yWindow="-120" windowWidth="29040" windowHeight="15720" xr2:uid="{94A929E8-59E8-40F3-AD79-63BCD0B4F9F8}"/>
  </bookViews>
  <sheets>
    <sheet name="Blad1"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1" l="1"/>
  <c r="F40" i="1"/>
  <c r="B19" i="1"/>
  <c r="B18" i="1"/>
  <c r="F52" i="1" l="1"/>
  <c r="F51" i="1"/>
  <c r="F50" i="1"/>
  <c r="E54" i="1" l="1"/>
  <c r="B21" i="1" l="1"/>
  <c r="B22" i="1" s="1"/>
</calcChain>
</file>

<file path=xl/sharedStrings.xml><?xml version="1.0" encoding="utf-8"?>
<sst xmlns="http://schemas.openxmlformats.org/spreadsheetml/2006/main" count="101" uniqueCount="87">
  <si>
    <t>Algemene gegevens</t>
  </si>
  <si>
    <t>School</t>
  </si>
  <si>
    <t>International Business</t>
  </si>
  <si>
    <t>EVE name:</t>
  </si>
  <si>
    <t xml:space="preserve">Smart Industry </t>
  </si>
  <si>
    <t>EVE code:</t>
  </si>
  <si>
    <t>TVMO-BMR65012-002_2526</t>
  </si>
  <si>
    <t>Level:</t>
  </si>
  <si>
    <t>NLQF-5 (advanced)</t>
  </si>
  <si>
    <t>ECs:</t>
  </si>
  <si>
    <t>Assessment date:</t>
  </si>
  <si>
    <t xml:space="preserve"> </t>
  </si>
  <si>
    <t>Name students(s):</t>
  </si>
  <si>
    <t>Student number(s)</t>
  </si>
  <si>
    <t>Assessment:</t>
  </si>
  <si>
    <t xml:space="preserve">Smart Industry Presentation </t>
  </si>
  <si>
    <t>Individual / Group:</t>
  </si>
  <si>
    <t>Group</t>
  </si>
  <si>
    <t>Date grading:</t>
  </si>
  <si>
    <t>Assessor 1:</t>
  </si>
  <si>
    <t>Dian Rietberg</t>
  </si>
  <si>
    <t>Assessor 2:</t>
  </si>
  <si>
    <t xml:space="preserve">Boris Ney </t>
  </si>
  <si>
    <r>
      <rPr>
        <b/>
        <sz val="11"/>
        <rFont val="Aptos Narrow"/>
        <family val="2"/>
        <scheme val="minor"/>
      </rPr>
      <t>Beoordeling</t>
    </r>
    <r>
      <rPr>
        <sz val="11"/>
        <rFont val="Aptos Narrow"/>
        <family val="2"/>
        <scheme val="minor"/>
      </rPr>
      <t xml:space="preserve">
</t>
    </r>
  </si>
  <si>
    <t>Assessment attempt:</t>
  </si>
  <si>
    <t>First</t>
  </si>
  <si>
    <t>Extra opportunity only after permission examination board. Third opportunity according to regulations.</t>
  </si>
  <si>
    <t>All prerequisites met:</t>
  </si>
  <si>
    <t>All prerequisites have to be met, otherwise the final grade will be 5 or 'almost sufficient'.</t>
  </si>
  <si>
    <t>Pass / Fail criteria met:</t>
  </si>
  <si>
    <t>All criteria have to be graded with a minimum of sufficient (1 point), otherwise the maximum final grade will be a 5 or insufficient.</t>
  </si>
  <si>
    <t>Grade or word grade</t>
  </si>
  <si>
    <t>Grade</t>
  </si>
  <si>
    <t>In case of a word grade, the number grade shall be rounded to the nearest whole number and then converted to a word grade.</t>
  </si>
  <si>
    <t>Result</t>
  </si>
  <si>
    <t>Calculates the result to 1 decimal place.</t>
  </si>
  <si>
    <t>Result Educator</t>
  </si>
  <si>
    <t>This result will be recorded in Educator</t>
  </si>
  <si>
    <t xml:space="preserve">Individual grade differences:
</t>
  </si>
  <si>
    <t>Name students + individual grade differences:</t>
  </si>
  <si>
    <t xml:space="preserve">Explanation: </t>
  </si>
  <si>
    <r>
      <rPr>
        <b/>
        <sz val="11"/>
        <rFont val="Aptos Narrow"/>
        <family val="2"/>
        <scheme val="minor"/>
      </rPr>
      <t>Cesura</t>
    </r>
    <r>
      <rPr>
        <sz val="11"/>
        <rFont val="Aptos Narrow"/>
        <family val="2"/>
        <scheme val="minor"/>
      </rPr>
      <t xml:space="preserve">
</t>
    </r>
  </si>
  <si>
    <t>All prerequisites have to be met otherwise the result in Educator will be 5 or 'almost sufficient'.
All parts have to be graded 'sufficient' to pass the EvE.
Each partof the learning outcome is first given a word grade. 
These word grades are translated to grades which are used to calculate the result (cell B21).
The result in Educator is in accordance with the assessment plan (grade or word grade).</t>
  </si>
  <si>
    <t>Prerequisites</t>
  </si>
  <si>
    <t>Please check</t>
  </si>
  <si>
    <t>APA guidelines have been applied to the work (sources should be identifiable on the slides and a bibgliography is given at the end indicating which sources have been used for which part)</t>
  </si>
  <si>
    <t>Students who missed workshops deliver the additional assignments sufficiently</t>
  </si>
  <si>
    <t xml:space="preserve">You analyse the macro, meso and internal environment of an international organisations, formulate a strategic advice based on these analyses and assess the impact of this advice using (desk and field) research and critical thinking. </t>
  </si>
  <si>
    <r>
      <t xml:space="preserve">Sufficient
</t>
    </r>
    <r>
      <rPr>
        <u/>
        <sz val="11"/>
        <color rgb="FF000000"/>
        <rFont val="Aptos Narrow"/>
        <family val="2"/>
        <scheme val="minor"/>
      </rPr>
      <t>largely</t>
    </r>
    <r>
      <rPr>
        <sz val="11"/>
        <color rgb="FF000000"/>
        <rFont val="Aptos Narrow"/>
        <family val="2"/>
        <scheme val="minor"/>
      </rPr>
      <t xml:space="preserve"> matches the learning outcome</t>
    </r>
  </si>
  <si>
    <r>
      <t>Good</t>
    </r>
    <r>
      <rPr>
        <sz val="11"/>
        <color rgb="FF000000"/>
        <rFont val="Aptos Narrow"/>
        <family val="2"/>
        <scheme val="minor"/>
      </rPr>
      <t xml:space="preserve">
matches the learning outcome </t>
    </r>
    <r>
      <rPr>
        <u/>
        <sz val="11"/>
        <color rgb="FF000000"/>
        <rFont val="Aptos Narrow"/>
        <family val="2"/>
        <scheme val="minor"/>
      </rPr>
      <t>completely</t>
    </r>
  </si>
  <si>
    <r>
      <t xml:space="preserve">Excellent
</t>
    </r>
    <r>
      <rPr>
        <u/>
        <sz val="11"/>
        <color rgb="FF000000"/>
        <rFont val="Aptos Narrow"/>
        <family val="2"/>
        <scheme val="minor"/>
      </rPr>
      <t>exceeds on parts the learning outcome</t>
    </r>
    <r>
      <rPr>
        <b/>
        <sz val="11"/>
        <color rgb="FF000000"/>
        <rFont val="Aptos Narrow"/>
        <family val="2"/>
        <scheme val="minor"/>
      </rPr>
      <t xml:space="preserve">
</t>
    </r>
  </si>
  <si>
    <t>Weight</t>
  </si>
  <si>
    <t>Assessment</t>
  </si>
  <si>
    <t xml:space="preserve">Part 1: Industry, Technology and Organisation Scan </t>
  </si>
  <si>
    <t xml:space="preserve">The industry analysis incorporates a trend analysis covering the past (about 50 years), current and future state using a timeline with emphasis on technologies adopted. Some quantitative data is used appropriately. The trend analysis shows that several developments were explored and that one relevant trend was selected, including potential effects of that trend on consumers and society as a whole. The organisation analysis is provided and includes some aspects of the HRM function in the organisation as well as a consumer analysis. In some parts used theories and/or models are applied and some sources are used. </t>
  </si>
  <si>
    <r>
      <rPr>
        <sz val="11"/>
        <color rgb="FF000000"/>
        <rFont val="Aptos Narrow"/>
        <scheme val="minor"/>
      </rPr>
      <t xml:space="preserve">The industry analysis incorporates a trend analysis covering the past (about 50 years), current and future state using a timeline with emphasis on technologies adopted. The vast trend analysis shows that many developments were explored and that one relevant trend was selected using critical thinking why this particular trend is most influential.  HRM within the industry is described and some changes over time are mentioned. Possible future changes of HRM following the analysis are reasoned. </t>
    </r>
    <r>
      <rPr>
        <b/>
        <sz val="11"/>
        <color rgb="FF000000"/>
        <rFont val="Aptos Narrow"/>
        <scheme val="minor"/>
      </rPr>
      <t xml:space="preserve">Lots of </t>
    </r>
    <r>
      <rPr>
        <sz val="11"/>
        <color rgb="FF000000"/>
        <rFont val="Aptos Narrow"/>
        <scheme val="minor"/>
      </rPr>
      <t>quantitative data is used appropriately.</t>
    </r>
    <r>
      <rPr>
        <b/>
        <sz val="11"/>
        <color rgb="FF000000"/>
        <rFont val="Aptos Narrow"/>
        <scheme val="minor"/>
      </rPr>
      <t xml:space="preserve"> The organisation analysis is embedded and includes a consumer analysis. Some elements of the HRM function of the organisation are given. In all parts </t>
    </r>
    <r>
      <rPr>
        <sz val="11"/>
        <color rgb="FF000000"/>
        <rFont val="Aptos Narrow"/>
        <scheme val="minor"/>
      </rPr>
      <t xml:space="preserve">used theories and/or models are justfified and applied in detail using a variety of international sources. </t>
    </r>
    <r>
      <rPr>
        <b/>
        <sz val="11"/>
        <color rgb="FF000000"/>
        <rFont val="Aptos Narrow"/>
        <scheme val="minor"/>
      </rPr>
      <t>Some theories and models are justified and applied to explain in almost all parts, using international sources.</t>
    </r>
  </si>
  <si>
    <r>
      <rPr>
        <sz val="11"/>
        <color rgb="FF000000"/>
        <rFont val="Aptos Narrow"/>
        <scheme val="minor"/>
      </rPr>
      <t xml:space="preserve">The industry analysis incorporates a </t>
    </r>
    <r>
      <rPr>
        <b/>
        <sz val="11"/>
        <color rgb="FF000000"/>
        <rFont val="Aptos Narrow"/>
        <scheme val="minor"/>
      </rPr>
      <t>vast</t>
    </r>
    <r>
      <rPr>
        <sz val="11"/>
        <color rgb="FF000000"/>
        <rFont val="Aptos Narrow"/>
        <scheme val="minor"/>
      </rPr>
      <t xml:space="preserve"> trend analysis covering a historical perspective and the current and future state using a timeline </t>
    </r>
    <r>
      <rPr>
        <b/>
        <sz val="11"/>
        <color rgb="FF000000"/>
        <rFont val="Aptos Narrow"/>
        <scheme val="minor"/>
      </rPr>
      <t>with a special emphasis of technologies adopted, within and beyond that industry</t>
    </r>
    <r>
      <rPr>
        <sz val="11"/>
        <color rgb="FF000000"/>
        <rFont val="Aptos Narrow"/>
        <scheme val="minor"/>
      </rPr>
      <t xml:space="preserve">. It is described how HRM changed in this industry and a link is made to technology adopion. </t>
    </r>
    <r>
      <rPr>
        <b/>
        <sz val="11"/>
        <color rgb="FF000000"/>
        <rFont val="Aptos Narrow"/>
        <scheme val="minor"/>
      </rPr>
      <t xml:space="preserve">It is also analysed what the current state of </t>
    </r>
    <r>
      <rPr>
        <b/>
        <u/>
        <sz val="11"/>
        <color rgb="FF000000"/>
        <rFont val="Aptos Narrow"/>
        <scheme val="minor"/>
      </rPr>
      <t xml:space="preserve">HRM in the industry </t>
    </r>
    <r>
      <rPr>
        <b/>
        <sz val="11"/>
        <color rgb="FF000000"/>
        <rFont val="Aptos Narrow"/>
        <scheme val="minor"/>
      </rPr>
      <t>is and how it may change due to the trends analysed. Many trends were used during this explanation to explain changes within the industry.</t>
    </r>
    <r>
      <rPr>
        <sz val="11"/>
        <color rgb="FF000000"/>
        <rFont val="Aptos Narrow"/>
        <scheme val="minor"/>
      </rPr>
      <t xml:space="preserve"> Extensive quantitative data is used appropriately. The vast trend analysis shows that many developments were explored and one relevant trend was selected using critical thinking and </t>
    </r>
    <r>
      <rPr>
        <b/>
        <sz val="11"/>
        <color rgb="FF000000"/>
        <rFont val="Aptos Narrow"/>
        <scheme val="minor"/>
      </rPr>
      <t xml:space="preserve">justification with international sources </t>
    </r>
    <r>
      <rPr>
        <sz val="11"/>
        <color rgb="FF000000"/>
        <rFont val="Aptos Narrow"/>
        <scheme val="minor"/>
      </rPr>
      <t>why this particular trend is most influential. 
The organisation analysis is embedded,</t>
    </r>
    <r>
      <rPr>
        <b/>
        <sz val="11"/>
        <color rgb="FF000000"/>
        <rFont val="Aptos Narrow"/>
        <scheme val="minor"/>
      </rPr>
      <t xml:space="preserve"> includes a consumer analysis and a clear description of </t>
    </r>
    <r>
      <rPr>
        <b/>
        <u/>
        <sz val="11"/>
        <color rgb="FF000000"/>
        <rFont val="Aptos Narrow"/>
        <scheme val="minor"/>
      </rPr>
      <t>the HRM function of that organisation.</t>
    </r>
    <r>
      <rPr>
        <sz val="11"/>
        <color rgb="FF000000"/>
        <rFont val="Aptos Narrow"/>
        <scheme val="minor"/>
      </rPr>
      <t xml:space="preserve"> In all parts used theories and/or models are justfified and applied </t>
    </r>
    <r>
      <rPr>
        <b/>
        <sz val="11"/>
        <color rgb="FF000000"/>
        <rFont val="Aptos Narrow"/>
        <scheme val="minor"/>
      </rPr>
      <t xml:space="preserve">in detail </t>
    </r>
    <r>
      <rPr>
        <sz val="11"/>
        <color rgb="FF000000"/>
        <rFont val="Aptos Narrow"/>
        <scheme val="minor"/>
      </rPr>
      <t xml:space="preserve">using a </t>
    </r>
    <r>
      <rPr>
        <b/>
        <sz val="11"/>
        <color rgb="FF000000"/>
        <rFont val="Aptos Narrow"/>
        <scheme val="minor"/>
      </rPr>
      <t>rich  variety</t>
    </r>
    <r>
      <rPr>
        <sz val="11"/>
        <color rgb="FF000000"/>
        <rFont val="Aptos Narrow"/>
        <scheme val="minor"/>
      </rPr>
      <t xml:space="preserve"> </t>
    </r>
    <r>
      <rPr>
        <b/>
        <sz val="11"/>
        <color rgb="FF000000"/>
        <rFont val="Aptos Narrow"/>
        <scheme val="minor"/>
      </rPr>
      <t>of credible</t>
    </r>
    <r>
      <rPr>
        <sz val="11"/>
        <color rgb="FF000000"/>
        <rFont val="Aptos Narrow"/>
        <scheme val="minor"/>
      </rPr>
      <t xml:space="preserve"> international sources. </t>
    </r>
    <r>
      <rPr>
        <b/>
        <sz val="11"/>
        <color rgb="FF000000"/>
        <rFont val="Aptos Narrow"/>
        <scheme val="minor"/>
      </rPr>
      <t xml:space="preserve">It is somehow already clear where the advice will lead following the argumentation.
</t>
    </r>
  </si>
  <si>
    <r>
      <rPr>
        <sz val="11"/>
        <color rgb="FF000000"/>
        <rFont val="Aptos Narrow"/>
        <family val="2"/>
        <scheme val="minor"/>
      </rPr>
      <t>Explanation of assessment (except for 'sufficient' or 'good'):</t>
    </r>
    <r>
      <rPr>
        <b/>
        <sz val="11"/>
        <color rgb="FF000000"/>
        <rFont val="Aptos Narrow"/>
        <family val="2"/>
        <scheme val="minor"/>
      </rPr>
      <t xml:space="preserve">
</t>
    </r>
  </si>
  <si>
    <t xml:space="preserve">Part 2: Presentation
(This covers the visual presentation i.e. slides, presentation skills) </t>
  </si>
  <si>
    <t xml:space="preserve">Some aspects of the presentation were clear and understandable. The student maintained reasonable eye contact and was able to engage with the audience at certain moments. The slides contained too much text, which reduced their effectiveness. The visual elements were functional and generally supported the presentation content.
</t>
  </si>
  <si>
    <r>
      <rPr>
        <b/>
        <sz val="11"/>
        <color rgb="FF000000"/>
        <rFont val="Aptos Narrow"/>
        <scheme val="minor"/>
      </rPr>
      <t xml:space="preserve">Next to sufficient: 
</t>
    </r>
    <r>
      <rPr>
        <sz val="11"/>
        <color rgb="FF000000"/>
        <rFont val="Aptos Narrow"/>
        <scheme val="minor"/>
      </rPr>
      <t xml:space="preserve">The student presented in an understandable, clear and </t>
    </r>
    <r>
      <rPr>
        <b/>
        <sz val="11"/>
        <color rgb="FF000000"/>
        <rFont val="Aptos Narrow"/>
        <scheme val="minor"/>
      </rPr>
      <t xml:space="preserve">engaging way </t>
    </r>
    <r>
      <rPr>
        <sz val="11"/>
        <color rgb="FF000000"/>
        <rFont val="Aptos Narrow"/>
        <scheme val="minor"/>
      </rPr>
      <t xml:space="preserve">using using visualizations </t>
    </r>
    <r>
      <rPr>
        <b/>
        <sz val="11"/>
        <color rgb="FF000000"/>
        <rFont val="Aptos Narrow"/>
        <scheme val="minor"/>
      </rPr>
      <t xml:space="preserve">effectively to support key points while keeping adequate eye contact with the audience. Text is used in the form of keywords and sources on the slides are incorporated in the storyline. Many visualisations of models are applied.
</t>
    </r>
    <r>
      <rPr>
        <sz val="11"/>
        <color rgb="FF000000"/>
        <rFont val="Aptos Narrow"/>
        <scheme val="minor"/>
      </rPr>
      <t xml:space="preserve">
</t>
    </r>
  </si>
  <si>
    <r>
      <rPr>
        <sz val="11"/>
        <color rgb="FF000000"/>
        <rFont val="Aptos Narrow"/>
        <scheme val="minor"/>
      </rPr>
      <t xml:space="preserve"> The student uses </t>
    </r>
    <r>
      <rPr>
        <b/>
        <sz val="11"/>
        <color rgb="FF000000"/>
        <rFont val="Aptos Narrow"/>
        <scheme val="minor"/>
      </rPr>
      <t>advanced visual design techniques</t>
    </r>
    <r>
      <rPr>
        <sz val="11"/>
        <color rgb="FF000000"/>
        <rFont val="Aptos Narrow"/>
        <scheme val="minor"/>
      </rPr>
      <t xml:space="preserve"> in slides and materials (i.e. animations, transitions, giphys, pictures etc.). 
S/he further </t>
    </r>
    <r>
      <rPr>
        <b/>
        <sz val="11"/>
        <color rgb="FF000000"/>
        <rFont val="Aptos Narrow"/>
        <scheme val="minor"/>
      </rPr>
      <t xml:space="preserve">captivates the audience </t>
    </r>
    <r>
      <rPr>
        <sz val="11"/>
        <color rgb="FF000000"/>
        <rFont val="Aptos Narrow"/>
        <scheme val="minor"/>
      </rPr>
      <t xml:space="preserve">throughout the whole presentation.
Visualisations of models are given shape in a </t>
    </r>
    <r>
      <rPr>
        <b/>
        <sz val="11"/>
        <color rgb="FF000000"/>
        <rFont val="Aptos Narrow"/>
        <scheme val="minor"/>
      </rPr>
      <t xml:space="preserve">creative and detailed way.
</t>
    </r>
    <r>
      <rPr>
        <sz val="11"/>
        <color rgb="FF000000"/>
        <rFont val="Aptos Narrow"/>
        <scheme val="minor"/>
      </rPr>
      <t xml:space="preserve"> 
</t>
    </r>
  </si>
  <si>
    <t>Part 3: Defense 
(This covers the quality of answers given)</t>
  </si>
  <si>
    <t>The student was able to answer questions with a reasonable level of depth and clarity, providing relevant arguments to support their responses. Sources were occasionally referenced to substantiate key points. The student's posture and overall demeanor were generally professional throughout the presentation and discussion.</t>
  </si>
  <si>
    <r>
      <rPr>
        <sz val="11"/>
        <color rgb="FF000000"/>
        <rFont val="Aptos Narrow"/>
        <scheme val="minor"/>
      </rPr>
      <t xml:space="preserve">The student answered questions in a </t>
    </r>
    <r>
      <rPr>
        <b/>
        <sz val="11"/>
        <color rgb="FF000000"/>
        <rFont val="Aptos Narrow"/>
        <scheme val="minor"/>
      </rPr>
      <t>specific and well-structured</t>
    </r>
    <r>
      <rPr>
        <sz val="11"/>
        <color rgb="FF000000"/>
        <rFont val="Aptos Narrow"/>
        <scheme val="minor"/>
      </rPr>
      <t xml:space="preserve"> manner, demonstrating a </t>
    </r>
    <r>
      <rPr>
        <b/>
        <sz val="11"/>
        <color rgb="FF000000"/>
        <rFont val="Aptos Narrow"/>
        <scheme val="minor"/>
      </rPr>
      <t xml:space="preserve">deep understanding </t>
    </r>
    <r>
      <rPr>
        <sz val="11"/>
        <color rgb="FF000000"/>
        <rFont val="Aptos Narrow"/>
        <scheme val="minor"/>
      </rPr>
      <t>of the subject matter. Responses were supported by references to relevant sources, reflecting thorough preparation and a</t>
    </r>
    <r>
      <rPr>
        <b/>
        <sz val="11"/>
        <color rgb="FF000000"/>
        <rFont val="Aptos Narrow"/>
        <scheme val="minor"/>
      </rPr>
      <t xml:space="preserve"> strong ability </t>
    </r>
    <r>
      <rPr>
        <sz val="11"/>
        <color rgb="FF000000"/>
        <rFont val="Aptos Narrow"/>
        <scheme val="minor"/>
      </rPr>
      <t>to connect theoretical concepts to practical applications. Throughout the presentation and question-and-answer session, the student maintained a professional and appropriate posture.</t>
    </r>
  </si>
  <si>
    <t xml:space="preserve">The student demonstrated strong critical thinking skills by providing nuanced and well-reasoned responses to questions, which contributed to a meaningful and engaging discussion. The student also showed the ability to look beyond the scope of the assignment/
 </t>
  </si>
  <si>
    <t xml:space="preserve">PART 2: TREND &amp; HRM ADVICE </t>
  </si>
  <si>
    <t>Part 2: Trend adjustment and HRM application advice</t>
  </si>
  <si>
    <t>You selected a relevant trend that the company needs to adjust to, which is important for both, its customer base and the wider industry. You provide practical advice on how the organisation can prepare for and adapt to this trend, taking into account the strategic, tactical and operational level. Key organisational factors such as time, budget, and feasibility are considered appropriately.
The strategic human resource advice is partly developed and includes elements of the employment cycle (IN, THROUGH, OUT). It is linked to the analysis and shows some understanding of how HR processes in the organisation can support the adjustment to the trend. However, the strategic implications could be formulated more specifically and further strengthened by more explicit connections between the advice and long-term organisational objectives.</t>
  </si>
  <si>
    <r>
      <rPr>
        <sz val="11"/>
        <color rgb="FF000000"/>
        <rFont val="Aptos Narrow"/>
        <scheme val="minor"/>
      </rPr>
      <t xml:space="preserve">You selected a relevant trend that the company needs to respond to, which </t>
    </r>
    <r>
      <rPr>
        <b/>
        <sz val="11"/>
        <color rgb="FF000000"/>
        <rFont val="Aptos Narrow"/>
        <scheme val="minor"/>
      </rPr>
      <t xml:space="preserve">is significant </t>
    </r>
    <r>
      <rPr>
        <sz val="11"/>
        <color rgb="FF000000"/>
        <rFont val="Aptos Narrow"/>
        <scheme val="minor"/>
      </rPr>
      <t xml:space="preserve">for both its customer base and the broader industry. You provide </t>
    </r>
    <r>
      <rPr>
        <b/>
        <sz val="11"/>
        <color rgb="FF000000"/>
        <rFont val="Aptos Narrow"/>
        <scheme val="minor"/>
      </rPr>
      <t>well-grounded and practical advice</t>
    </r>
    <r>
      <rPr>
        <sz val="11"/>
        <color rgb="FF000000"/>
        <rFont val="Aptos Narrow"/>
        <scheme val="minor"/>
      </rPr>
      <t xml:space="preserve"> on how the organisation can prepare for and adapt to this trend, considering strategic, tactical, and operational levels. Important organisational constraints such as time, budget, and feasibility are appropriately taken into account.
The strategic human resource advice is </t>
    </r>
    <r>
      <rPr>
        <b/>
        <sz val="11"/>
        <color rgb="FF000000"/>
        <rFont val="Aptos Narrow"/>
        <scheme val="minor"/>
      </rPr>
      <t xml:space="preserve">well developed </t>
    </r>
    <r>
      <rPr>
        <sz val="11"/>
        <color rgb="FF000000"/>
        <rFont val="Aptos Narrow"/>
        <scheme val="minor"/>
      </rPr>
      <t>and includes elements of the full employment cycle (IN, THROUGH, OUT). It is</t>
    </r>
    <r>
      <rPr>
        <b/>
        <sz val="11"/>
        <color rgb="FF000000"/>
        <rFont val="Aptos Narrow"/>
        <scheme val="minor"/>
      </rPr>
      <t xml:space="preserve"> clearly linked</t>
    </r>
    <r>
      <rPr>
        <sz val="11"/>
        <color rgb="FF000000"/>
        <rFont val="Aptos Narrow"/>
        <scheme val="minor"/>
      </rPr>
      <t xml:space="preserve"> to the analysis and demonstrates a </t>
    </r>
    <r>
      <rPr>
        <b/>
        <sz val="11"/>
        <color rgb="FF000000"/>
        <rFont val="Aptos Narrow"/>
        <scheme val="minor"/>
      </rPr>
      <t>solid understanding</t>
    </r>
    <r>
      <rPr>
        <sz val="11"/>
        <color rgb="FF000000"/>
        <rFont val="Aptos Narrow"/>
        <scheme val="minor"/>
      </rPr>
      <t xml:space="preserve"> of how HR processes can support the organisation in adapting to the trend. The strategic implications are formulated </t>
    </r>
    <r>
      <rPr>
        <b/>
        <sz val="11"/>
        <color rgb="FF000000"/>
        <rFont val="Aptos Narrow"/>
        <scheme val="minor"/>
      </rPr>
      <t>explicitly,</t>
    </r>
    <r>
      <rPr>
        <sz val="11"/>
        <color rgb="FF000000"/>
        <rFont val="Aptos Narrow"/>
        <scheme val="minor"/>
      </rPr>
      <t xml:space="preserve"> with clear connections to long-term organisational objectives.</t>
    </r>
  </si>
  <si>
    <r>
      <rPr>
        <sz val="11"/>
        <color rgb="FF000000"/>
        <rFont val="Aptos Narrow"/>
        <scheme val="minor"/>
      </rPr>
      <t xml:space="preserve">The strategic human resource advice </t>
    </r>
    <r>
      <rPr>
        <b/>
        <sz val="11"/>
        <color rgb="FF000000"/>
        <rFont val="Aptos Narrow"/>
        <scheme val="minor"/>
      </rPr>
      <t>comprehensively covers</t>
    </r>
    <r>
      <rPr>
        <sz val="11"/>
        <color rgb="FF000000"/>
        <rFont val="Aptos Narrow"/>
        <scheme val="minor"/>
      </rPr>
      <t xml:space="preserve"> all processes within the three phases of the employment cycle (IN, THROUGH, OUT), making the </t>
    </r>
    <r>
      <rPr>
        <b/>
        <sz val="11"/>
        <color rgb="FF000000"/>
        <rFont val="Aptos Narrow"/>
        <scheme val="minor"/>
      </rPr>
      <t>recommendations practical, concrete, and directly applicable.</t>
    </r>
    <r>
      <rPr>
        <sz val="11"/>
        <color rgb="FF000000"/>
        <rFont val="Aptos Narrow"/>
        <scheme val="minor"/>
      </rPr>
      <t xml:space="preserve"> A well-justified implementation plan is presented, supported by i</t>
    </r>
    <r>
      <rPr>
        <b/>
        <sz val="11"/>
        <color rgb="FF000000"/>
        <rFont val="Aptos Narrow"/>
        <scheme val="minor"/>
      </rPr>
      <t xml:space="preserve">nternational sources, </t>
    </r>
    <r>
      <rPr>
        <sz val="11"/>
        <color rgb="FF000000"/>
        <rFont val="Aptos Narrow"/>
        <scheme val="minor"/>
      </rPr>
      <t>clearly outlining the steps required to put the advice into practice.
The impact of following this advice is thoroughly and critically reasoned at the strategic, tactical, and operational levels of the organisation. Throughout the work,</t>
    </r>
    <r>
      <rPr>
        <b/>
        <sz val="11"/>
        <color rgb="FF000000"/>
        <rFont val="Aptos Narrow"/>
        <scheme val="minor"/>
      </rPr>
      <t xml:space="preserve"> a rich variety of theories and models </t>
    </r>
    <r>
      <rPr>
        <sz val="11"/>
        <color rgb="FF000000"/>
        <rFont val="Aptos Narrow"/>
        <scheme val="minor"/>
      </rPr>
      <t xml:space="preserve">is applied and effectively justified, demonstrating strong analytical depth and academic grounding.
</t>
    </r>
  </si>
  <si>
    <t xml:space="preserve">Part 2: Presentation
(This covers the visual presentation i.e. slides and presentation skills) </t>
  </si>
  <si>
    <r>
      <rPr>
        <b/>
        <sz val="11"/>
        <color rgb="FF000000"/>
        <rFont val="Aptos Narrow"/>
        <scheme val="minor"/>
      </rPr>
      <t xml:space="preserve">Next to good: 
</t>
    </r>
    <r>
      <rPr>
        <sz val="11"/>
        <color rgb="FF000000"/>
        <rFont val="Aptos Narrow"/>
        <scheme val="minor"/>
      </rPr>
      <t xml:space="preserve">The student demonstrated strong critical thinking skills by providing nuanced and well-reasoned responses to questions, which contributed to a meaningful and engaging discussion. The student also showed the ability to look beyond the scope of the assignment/
 </t>
    </r>
  </si>
  <si>
    <r>
      <rPr>
        <b/>
        <sz val="11"/>
        <color theme="1"/>
        <rFont val="Aptos Narrow"/>
        <family val="2"/>
        <scheme val="minor"/>
      </rPr>
      <t>FILL IN:</t>
    </r>
    <r>
      <rPr>
        <sz val="11"/>
        <color theme="1"/>
        <rFont val="Aptos Narrow"/>
        <family val="2"/>
        <scheme val="minor"/>
      </rPr>
      <t xml:space="preserve"> Amount of group members </t>
    </r>
  </si>
  <si>
    <t>Basket of points</t>
  </si>
  <si>
    <t>Suggested grade per group member</t>
  </si>
  <si>
    <t>Explanation</t>
  </si>
  <si>
    <t>Member 1:</t>
  </si>
  <si>
    <t>Member 2:</t>
  </si>
  <si>
    <t>click here</t>
  </si>
  <si>
    <t>Result summary</t>
  </si>
  <si>
    <t>Part 1</t>
  </si>
  <si>
    <t>Part 2</t>
  </si>
  <si>
    <t>Member 3:</t>
  </si>
  <si>
    <t>Member 4:</t>
  </si>
  <si>
    <t>Sub-grade part 1 (intermediate result: please be aware of the prereuquisite that all criteria have to score sufficient)</t>
  </si>
  <si>
    <t>Sub-grade part 2 (intermediate result: please be aware of the prereuquisite that all criteria have to score sufficient)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</si>
</sst>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13]d\ mmmm\ yyyy;@"/>
    <numFmt numFmtId="165" formatCode="0.0"/>
  </numFmts>
  <fonts count="12"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b/>
      <sz val="11"/>
      <color rgb="FF000000"/>
      <name val="Aptos Narrow"/>
      <family val="2"/>
      <scheme val="minor"/>
    </font>
    <font>
      <u/>
      <sz val="11"/>
      <color rgb="FF000000"/>
      <name val="Aptos Narrow"/>
      <family val="2"/>
      <scheme val="minor"/>
    </font>
    <font>
      <sz val="11"/>
      <color rgb="FF000000"/>
      <name val="Aptos Narrow"/>
      <family val="2"/>
      <scheme val="minor"/>
    </font>
    <font>
      <i/>
      <sz val="11"/>
      <color rgb="FF000000"/>
      <name val="Aptos Narrow"/>
      <family val="2"/>
      <scheme val="minor"/>
    </font>
    <font>
      <sz val="11"/>
      <color rgb="FF000000"/>
      <name val="Aptos Narrow"/>
      <scheme val="minor"/>
    </font>
    <font>
      <b/>
      <sz val="11"/>
      <color rgb="FF000000"/>
      <name val="Aptos Narrow"/>
      <scheme val="minor"/>
    </font>
    <font>
      <b/>
      <u/>
      <sz val="11"/>
      <color rgb="FF000000"/>
      <name val="Aptos Narrow"/>
      <scheme val="minor"/>
    </font>
  </fonts>
  <fills count="1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FFF2CC"/>
        <bgColor indexed="64"/>
      </patternFill>
    </fill>
    <fill>
      <patternFill patternType="solid">
        <fgColor rgb="FF00B050"/>
        <bgColor indexed="64"/>
      </patternFill>
    </fill>
    <fill>
      <patternFill patternType="solid">
        <fgColor theme="2"/>
        <bgColor indexed="64"/>
      </patternFill>
    </fill>
    <fill>
      <patternFill patternType="solid">
        <fgColor rgb="FFFFFFFF"/>
        <bgColor indexed="64"/>
      </patternFill>
    </fill>
    <fill>
      <patternFill patternType="solid">
        <fgColor rgb="FFFFC000"/>
        <bgColor indexed="64"/>
      </patternFill>
    </fill>
    <fill>
      <patternFill patternType="solid">
        <fgColor rgb="FFFFFFFF"/>
        <bgColor rgb="FF000000"/>
      </patternFill>
    </fill>
    <fill>
      <patternFill patternType="solid">
        <fgColor rgb="FFFFFF00"/>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4">
    <xf numFmtId="0" fontId="0" fillId="0" borderId="0" xfId="0"/>
    <xf numFmtId="0" fontId="0" fillId="3" borderId="1" xfId="0" applyFill="1" applyBorder="1"/>
    <xf numFmtId="0" fontId="0" fillId="4" borderId="3" xfId="0" applyFill="1" applyBorder="1"/>
    <xf numFmtId="0" fontId="0" fillId="5" borderId="2" xfId="0" applyFill="1" applyBorder="1"/>
    <xf numFmtId="0" fontId="3" fillId="4" borderId="3" xfId="0" applyFont="1" applyFill="1" applyBorder="1" applyAlignment="1">
      <alignment horizontal="left"/>
    </xf>
    <xf numFmtId="164" fontId="3" fillId="4" borderId="2" xfId="0" applyNumberFormat="1" applyFont="1" applyFill="1" applyBorder="1" applyAlignment="1">
      <alignment horizontal="left"/>
    </xf>
    <xf numFmtId="164" fontId="3" fillId="4" borderId="3" xfId="0" applyNumberFormat="1" applyFont="1" applyFill="1" applyBorder="1" applyAlignment="1">
      <alignment horizontal="left"/>
    </xf>
    <xf numFmtId="0" fontId="0" fillId="6" borderId="0" xfId="0" applyFill="1"/>
    <xf numFmtId="0" fontId="3"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5" borderId="2" xfId="0" applyFont="1" applyFill="1" applyBorder="1" applyAlignment="1">
      <alignment horizontal="left" vertical="top" wrapText="1"/>
    </xf>
    <xf numFmtId="0" fontId="0" fillId="3" borderId="1" xfId="0" applyFill="1" applyBorder="1" applyAlignment="1">
      <alignment vertical="center"/>
    </xf>
    <xf numFmtId="165" fontId="0" fillId="7" borderId="2" xfId="0" applyNumberFormat="1" applyFill="1" applyBorder="1" applyAlignment="1">
      <alignment horizontal="left" vertical="center"/>
    </xf>
    <xf numFmtId="165" fontId="2" fillId="8" borderId="1" xfId="0" applyNumberFormat="1" applyFont="1" applyFill="1" applyBorder="1" applyAlignment="1">
      <alignment horizontal="left" vertical="center"/>
    </xf>
    <xf numFmtId="0" fontId="0" fillId="3" borderId="2" xfId="0" applyFill="1" applyBorder="1"/>
    <xf numFmtId="0" fontId="2" fillId="3" borderId="3" xfId="0" applyFont="1" applyFill="1" applyBorder="1"/>
    <xf numFmtId="0" fontId="2" fillId="3" borderId="4" xfId="0" applyFont="1" applyFill="1" applyBorder="1"/>
    <xf numFmtId="0" fontId="2"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9" borderId="1" xfId="0" applyFont="1" applyFill="1" applyBorder="1" applyAlignment="1">
      <alignment horizontal="center" vertical="top" wrapText="1"/>
    </xf>
    <xf numFmtId="0" fontId="7" fillId="10" borderId="1" xfId="0" applyFont="1" applyFill="1" applyBorder="1" applyAlignment="1">
      <alignment horizontal="left" vertical="top" wrapText="1"/>
    </xf>
    <xf numFmtId="49" fontId="0" fillId="10" borderId="1" xfId="0" applyNumberFormat="1" applyFill="1" applyBorder="1" applyAlignment="1">
      <alignment horizontal="left" vertical="top" wrapText="1"/>
    </xf>
    <xf numFmtId="0" fontId="7" fillId="10" borderId="1" xfId="0" applyFont="1" applyFill="1" applyBorder="1" applyAlignment="1">
      <alignment horizontal="center" vertical="center" wrapText="1"/>
    </xf>
    <xf numFmtId="0" fontId="0" fillId="0" borderId="0" xfId="0" applyAlignment="1">
      <alignment horizontal="left" vertical="center"/>
    </xf>
    <xf numFmtId="0" fontId="0" fillId="3" borderId="1" xfId="0" applyFill="1" applyBorder="1" applyAlignment="1">
      <alignment vertical="center" wrapText="1"/>
    </xf>
    <xf numFmtId="165" fontId="0" fillId="3" borderId="2" xfId="0" applyNumberFormat="1" applyFill="1" applyBorder="1" applyAlignment="1">
      <alignment horizontal="left" vertical="top"/>
    </xf>
    <xf numFmtId="165" fontId="0" fillId="0" borderId="2" xfId="0" applyNumberFormat="1" applyBorder="1" applyAlignment="1">
      <alignment horizontal="left" vertical="top"/>
    </xf>
    <xf numFmtId="0" fontId="7" fillId="10" borderId="3" xfId="0" applyFont="1" applyFill="1" applyBorder="1" applyAlignment="1">
      <alignment horizontal="center" vertical="center" wrapText="1"/>
    </xf>
    <xf numFmtId="0" fontId="7" fillId="10" borderId="2" xfId="0" applyFont="1" applyFill="1" applyBorder="1" applyAlignment="1">
      <alignment horizontal="left" vertical="top" wrapText="1"/>
    </xf>
    <xf numFmtId="0" fontId="0" fillId="0" borderId="1" xfId="0" applyBorder="1"/>
    <xf numFmtId="0" fontId="5" fillId="3" borderId="2" xfId="0" applyFont="1" applyFill="1" applyBorder="1" applyAlignment="1">
      <alignment horizontal="left" vertical="top" wrapText="1"/>
    </xf>
    <xf numFmtId="0" fontId="8" fillId="3" borderId="3" xfId="0" applyFont="1" applyFill="1" applyBorder="1" applyAlignment="1">
      <alignment horizontal="left" vertical="top" wrapText="1"/>
    </xf>
    <xf numFmtId="0" fontId="0" fillId="3" borderId="0" xfId="0" applyFill="1"/>
    <xf numFmtId="0" fontId="7" fillId="10" borderId="6" xfId="0" applyFont="1" applyFill="1" applyBorder="1" applyAlignment="1">
      <alignment horizontal="left" vertical="top" wrapText="1"/>
    </xf>
    <xf numFmtId="0" fontId="0" fillId="3" borderId="5" xfId="0" applyFill="1" applyBorder="1" applyAlignment="1">
      <alignment horizontal="left" vertical="top" wrapText="1"/>
    </xf>
    <xf numFmtId="0" fontId="7" fillId="10" borderId="6" xfId="0" applyFont="1" applyFill="1" applyBorder="1" applyAlignment="1">
      <alignment horizontal="center" vertical="center" wrapText="1"/>
    </xf>
    <xf numFmtId="0" fontId="3" fillId="3" borderId="1" xfId="0" applyFont="1" applyFill="1" applyBorder="1" applyAlignment="1">
      <alignment wrapText="1"/>
    </xf>
    <xf numFmtId="0" fontId="2" fillId="14" borderId="1" xfId="0" applyFont="1" applyFill="1" applyBorder="1"/>
    <xf numFmtId="0" fontId="0" fillId="3" borderId="1" xfId="0" applyFill="1" applyBorder="1" applyAlignment="1">
      <alignment wrapText="1"/>
    </xf>
    <xf numFmtId="0" fontId="2" fillId="11" borderId="1" xfId="0" applyFont="1" applyFill="1" applyBorder="1" applyAlignment="1">
      <alignment wrapText="1"/>
    </xf>
    <xf numFmtId="0" fontId="0" fillId="11" borderId="1" xfId="0" applyFill="1" applyBorder="1" applyAlignment="1">
      <alignment wrapText="1"/>
    </xf>
    <xf numFmtId="0" fontId="2" fillId="4" borderId="1" xfId="0" applyFont="1" applyFill="1" applyBorder="1" applyAlignment="1">
      <alignment wrapText="1"/>
    </xf>
    <xf numFmtId="0" fontId="0" fillId="4" borderId="1" xfId="0" applyFill="1" applyBorder="1" applyAlignment="1">
      <alignment wrapText="1"/>
    </xf>
    <xf numFmtId="0" fontId="0" fillId="0" borderId="0" xfId="0" applyAlignment="1">
      <alignment horizontal="left" vertical="top" wrapText="1"/>
    </xf>
    <xf numFmtId="49" fontId="9" fillId="10" borderId="1" xfId="0" applyNumberFormat="1" applyFont="1" applyFill="1" applyBorder="1" applyAlignment="1">
      <alignment horizontal="left" vertical="top" wrapText="1"/>
    </xf>
    <xf numFmtId="49" fontId="7" fillId="10" borderId="6" xfId="0" applyNumberFormat="1" applyFont="1" applyFill="1" applyBorder="1" applyAlignment="1">
      <alignment horizontal="left" vertical="top" wrapText="1"/>
    </xf>
    <xf numFmtId="0" fontId="7" fillId="3" borderId="1" xfId="0" applyFont="1" applyFill="1" applyBorder="1" applyAlignment="1">
      <alignment horizontal="left" vertical="top" wrapText="1"/>
    </xf>
    <xf numFmtId="0" fontId="7" fillId="12" borderId="5" xfId="0" applyFont="1" applyFill="1" applyBorder="1" applyAlignment="1">
      <alignment vertical="top" wrapText="1"/>
    </xf>
    <xf numFmtId="0" fontId="9" fillId="3" borderId="5" xfId="0" applyFont="1" applyFill="1" applyBorder="1" applyAlignment="1">
      <alignment horizontal="left" vertical="top" wrapText="1"/>
    </xf>
    <xf numFmtId="0" fontId="0" fillId="0" borderId="2" xfId="0" applyBorder="1"/>
    <xf numFmtId="0" fontId="0" fillId="0" borderId="4" xfId="0" applyBorder="1"/>
    <xf numFmtId="0" fontId="5" fillId="11" borderId="3" xfId="0" applyFont="1" applyFill="1" applyBorder="1" applyAlignment="1">
      <alignment vertical="top" wrapText="1"/>
    </xf>
    <xf numFmtId="0" fontId="3" fillId="3" borderId="1" xfId="0" applyFont="1" applyFill="1" applyBorder="1" applyAlignment="1">
      <alignment horizontal="center" vertical="center" wrapText="1"/>
    </xf>
    <xf numFmtId="0" fontId="5" fillId="0" borderId="0" xfId="0" applyFont="1" applyAlignment="1">
      <alignment vertical="top" wrapText="1"/>
    </xf>
    <xf numFmtId="0" fontId="5" fillId="11" borderId="0" xfId="0" applyFont="1" applyFill="1" applyAlignment="1">
      <alignment vertical="top" wrapText="1"/>
    </xf>
    <xf numFmtId="9" fontId="5" fillId="11" borderId="1" xfId="0" applyNumberFormat="1" applyFont="1" applyFill="1" applyBorder="1" applyAlignment="1">
      <alignment horizontal="center" vertical="center" wrapText="1"/>
    </xf>
    <xf numFmtId="49" fontId="9" fillId="10" borderId="6" xfId="0" applyNumberFormat="1" applyFont="1" applyFill="1" applyBorder="1" applyAlignment="1">
      <alignment horizontal="left" vertical="top" wrapText="1"/>
    </xf>
    <xf numFmtId="0" fontId="0" fillId="0" borderId="10" xfId="0" applyBorder="1" applyAlignment="1">
      <alignment horizontal="center"/>
    </xf>
    <xf numFmtId="0" fontId="0" fillId="0" borderId="0" xfId="0" applyAlignment="1">
      <alignment horizontal="center"/>
    </xf>
    <xf numFmtId="0" fontId="0" fillId="3" borderId="2" xfId="0" applyFill="1" applyBorder="1" applyAlignment="1">
      <alignment horizontal="left" vertical="top"/>
    </xf>
    <xf numFmtId="0" fontId="0" fillId="3" borderId="3" xfId="0" applyFill="1" applyBorder="1" applyAlignment="1">
      <alignment horizontal="left" vertical="top"/>
    </xf>
    <xf numFmtId="0" fontId="0" fillId="3" borderId="4" xfId="0" applyFill="1" applyBorder="1" applyAlignment="1">
      <alignment horizontal="left" vertical="top"/>
    </xf>
    <xf numFmtId="0" fontId="2" fillId="2" borderId="1" xfId="0" applyFont="1" applyFill="1" applyBorder="1"/>
    <xf numFmtId="0" fontId="0" fillId="0" borderId="1" xfId="0" applyBorder="1" applyAlignment="1">
      <alignment horizontal="left" vertical="top" wrapText="1"/>
    </xf>
    <xf numFmtId="0" fontId="5" fillId="7" borderId="2" xfId="0" applyFont="1" applyFill="1" applyBorder="1" applyAlignment="1">
      <alignment horizontal="left" vertical="top" wrapText="1"/>
    </xf>
    <xf numFmtId="0" fontId="8" fillId="7" borderId="3" xfId="0" applyFont="1" applyFill="1" applyBorder="1" applyAlignment="1">
      <alignment horizontal="left" vertical="top" wrapText="1"/>
    </xf>
    <xf numFmtId="0" fontId="8" fillId="7" borderId="4" xfId="0" applyFont="1" applyFill="1" applyBorder="1" applyAlignment="1">
      <alignment horizontal="left" vertical="top" wrapText="1"/>
    </xf>
    <xf numFmtId="0" fontId="5" fillId="7" borderId="9" xfId="0" applyFont="1" applyFill="1" applyBorder="1" applyAlignment="1">
      <alignment horizontal="left" vertical="top" wrapText="1"/>
    </xf>
    <xf numFmtId="0" fontId="8" fillId="7" borderId="7" xfId="0" applyFont="1" applyFill="1" applyBorder="1" applyAlignment="1">
      <alignment horizontal="left" vertical="top" wrapText="1"/>
    </xf>
    <xf numFmtId="0" fontId="8" fillId="7" borderId="8" xfId="0" applyFont="1" applyFill="1" applyBorder="1" applyAlignment="1">
      <alignment horizontal="left" vertical="top" wrapText="1"/>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5" borderId="2" xfId="0" applyFont="1" applyFill="1" applyBorder="1" applyAlignment="1">
      <alignment horizontal="center"/>
      <extLst>
        <ext xmlns:xfpb="http://schemas.microsoft.com/office/spreadsheetml/2022/featurepropertybag" uri="{C7286773-470A-42A8-94C5-96B5CB345126}">
          <xfpb:xfComplement i="0"/>
        </ext>
      </extLst>
    </xf>
    <xf numFmtId="0" fontId="2" fillId="5" borderId="4" xfId="0" applyFont="1" applyFill="1" applyBorder="1" applyAlignment="1">
      <alignment horizontal="center"/>
      <extLst>
        <ext xmlns:xfpb="http://schemas.microsoft.com/office/spreadsheetml/2022/featurepropertybag" uri="{C7286773-470A-42A8-94C5-96B5CB345126}">
          <xfpb:xfComplement i="0"/>
        </ext>
      </extLst>
    </xf>
    <xf numFmtId="0" fontId="2" fillId="5" borderId="3" xfId="0" applyFont="1" applyFill="1" applyBorder="1" applyAlignment="1">
      <alignment horizontal="center"/>
      <extLst>
        <ext xmlns:xfpb="http://schemas.microsoft.com/office/spreadsheetml/2022/featurepropertybag" uri="{C7286773-470A-42A8-94C5-96B5CB345126}">
          <xfpb:xfComplement i="0"/>
        </ext>
      </extLst>
    </xf>
    <xf numFmtId="0" fontId="5"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0" fillId="11" borderId="1" xfId="0" applyFill="1" applyBorder="1" applyAlignment="1">
      <alignment horizontal="left"/>
    </xf>
    <xf numFmtId="0" fontId="5" fillId="11" borderId="2" xfId="0" applyFont="1" applyFill="1" applyBorder="1" applyAlignment="1">
      <alignment horizontal="left" vertical="center" wrapText="1"/>
    </xf>
    <xf numFmtId="0" fontId="5" fillId="11" borderId="3" xfId="0" applyFont="1" applyFill="1" applyBorder="1" applyAlignment="1">
      <alignment horizontal="left" vertical="center" wrapText="1"/>
    </xf>
    <xf numFmtId="0" fontId="5" fillId="11" borderId="2" xfId="0" applyFont="1" applyFill="1" applyBorder="1" applyAlignment="1">
      <alignment horizontal="left" vertical="top" wrapText="1"/>
    </xf>
    <xf numFmtId="0" fontId="5" fillId="11" borderId="3" xfId="0" applyFont="1" applyFill="1" applyBorder="1" applyAlignment="1">
      <alignment horizontal="left" vertical="top" wrapText="1"/>
    </xf>
    <xf numFmtId="1" fontId="1" fillId="0" borderId="1" xfId="0" applyNumberFormat="1" applyFont="1" applyBorder="1" applyAlignment="1">
      <alignment horizontal="left" vertical="center"/>
    </xf>
    <xf numFmtId="1" fontId="0" fillId="0" borderId="1" xfId="0" applyNumberFormat="1" applyBorder="1" applyAlignment="1">
      <alignment horizontal="left" vertical="center"/>
    </xf>
    <xf numFmtId="165" fontId="0" fillId="0" borderId="6" xfId="0" applyNumberFormat="1" applyBorder="1" applyAlignment="1">
      <alignment horizontal="left" vertical="center"/>
    </xf>
    <xf numFmtId="0" fontId="0" fillId="0" borderId="1" xfId="0" applyBorder="1" applyAlignment="1">
      <alignment horizontal="left" vertical="center"/>
    </xf>
    <xf numFmtId="0" fontId="3" fillId="2" borderId="1" xfId="0" applyFont="1" applyFill="1" applyBorder="1" applyAlignment="1">
      <alignment horizontal="left" vertical="top" wrapText="1"/>
    </xf>
    <xf numFmtId="0" fontId="0" fillId="2" borderId="1" xfId="0" applyFill="1" applyBorder="1" applyAlignment="1">
      <alignment horizontal="left" vertical="top"/>
    </xf>
    <xf numFmtId="0" fontId="8" fillId="7" borderId="11" xfId="0" applyFont="1" applyFill="1" applyBorder="1" applyAlignment="1">
      <alignment horizontal="left" vertical="top" wrapText="1"/>
    </xf>
    <xf numFmtId="0" fontId="2" fillId="11" borderId="10" xfId="0" applyFont="1" applyFill="1" applyBorder="1" applyAlignment="1">
      <alignment horizontal="left"/>
    </xf>
    <xf numFmtId="0" fontId="2" fillId="11" borderId="0" xfId="0" applyFont="1" applyFill="1" applyAlignment="1">
      <alignment horizontal="left"/>
    </xf>
    <xf numFmtId="0" fontId="7" fillId="7" borderId="2" xfId="0" applyFont="1" applyFill="1" applyBorder="1" applyAlignment="1">
      <alignment horizontal="left" vertical="top" wrapText="1"/>
    </xf>
    <xf numFmtId="0" fontId="7" fillId="7" borderId="4" xfId="0" applyFont="1" applyFill="1" applyBorder="1" applyAlignment="1">
      <alignment horizontal="left" vertical="top" wrapText="1"/>
    </xf>
    <xf numFmtId="0" fontId="0" fillId="13" borderId="1" xfId="0" applyFill="1" applyBorder="1" applyAlignment="1">
      <alignment horizontal="left" wrapText="1"/>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0" fillId="4" borderId="2" xfId="0" applyFill="1" applyBorder="1"/>
    <xf numFmtId="0" fontId="0" fillId="4" borderId="3" xfId="0" applyFill="1" applyBorder="1"/>
    <xf numFmtId="0" fontId="0" fillId="4" borderId="4" xfId="0" applyFill="1" applyBorder="1"/>
    <xf numFmtId="0" fontId="0" fillId="0" borderId="1" xfId="0" applyBorder="1" applyAlignment="1">
      <alignment horizontal="left" vertical="top"/>
    </xf>
    <xf numFmtId="0" fontId="0" fillId="4" borderId="1" xfId="0" applyFill="1" applyBorder="1"/>
    <xf numFmtId="0" fontId="0" fillId="0" borderId="1" xfId="0" applyBorder="1"/>
    <xf numFmtId="0" fontId="0" fillId="0" borderId="2" xfId="0" applyBorder="1"/>
    <xf numFmtId="0" fontId="0" fillId="0" borderId="3" xfId="0" applyBorder="1"/>
    <xf numFmtId="0" fontId="0" fillId="0" borderId="4" xfId="0" applyBorder="1"/>
    <xf numFmtId="0" fontId="5" fillId="9" borderId="2" xfId="0" applyFont="1" applyFill="1" applyBorder="1" applyAlignment="1">
      <alignment horizontal="center" vertical="top" wrapText="1"/>
    </xf>
    <xf numFmtId="0" fontId="0" fillId="5" borderId="12" xfId="0" applyFill="1" applyBorder="1" applyAlignment="1">
      <alignment horizontal="center" vertical="center" wrapText="1"/>
    </xf>
    <xf numFmtId="0" fontId="0" fillId="5" borderId="2" xfId="0" applyFill="1" applyBorder="1" applyAlignment="1">
      <alignment horizontal="center" vertical="center" wrapText="1"/>
    </xf>
    <xf numFmtId="165" fontId="0" fillId="11" borderId="2" xfId="0" applyNumberFormat="1" applyFill="1" applyBorder="1" applyAlignment="1">
      <alignment horizontal="center" vertical="center"/>
    </xf>
    <xf numFmtId="0" fontId="7" fillId="7" borderId="2" xfId="0" applyFont="1" applyFill="1" applyBorder="1" applyAlignment="1">
      <alignment horizontal="center" vertical="top" wrapText="1"/>
    </xf>
    <xf numFmtId="0" fontId="2" fillId="11" borderId="9" xfId="0" applyFont="1" applyFill="1" applyBorder="1" applyAlignment="1">
      <alignment horizontal="center" vertical="center"/>
    </xf>
    <xf numFmtId="0" fontId="0" fillId="0" borderId="2" xfId="0" applyBorder="1" applyAlignment="1">
      <alignment horizontal="center"/>
    </xf>
    <xf numFmtId="0" fontId="3" fillId="3" borderId="4" xfId="0" applyFont="1" applyFill="1" applyBorder="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CDB6A-3758-45DC-8534-7849D14F3DE2}">
  <dimension ref="A1:J60"/>
  <sheetViews>
    <sheetView tabSelected="1" zoomScale="85" zoomScaleNormal="85" workbookViewId="0">
      <selection activeCell="E46" sqref="E46"/>
    </sheetView>
  </sheetViews>
  <sheetFormatPr defaultRowHeight="14.5" x14ac:dyDescent="0.35"/>
  <cols>
    <col min="1" max="1" width="35.54296875" customWidth="1"/>
    <col min="2" max="2" width="41" customWidth="1"/>
    <col min="3" max="3" width="48.453125" customWidth="1"/>
    <col min="4" max="4" width="42.54296875" customWidth="1"/>
    <col min="5" max="5" width="11.90625" customWidth="1"/>
    <col min="6" max="6" width="16.54296875" customWidth="1"/>
    <col min="7" max="7" width="60.08984375" style="1" customWidth="1"/>
    <col min="8" max="8" width="8.90625" customWidth="1"/>
  </cols>
  <sheetData>
    <row r="1" spans="1:6" x14ac:dyDescent="0.35">
      <c r="A1" s="62" t="s">
        <v>0</v>
      </c>
      <c r="B1" s="62"/>
      <c r="C1" s="62"/>
      <c r="D1" s="62"/>
      <c r="E1" s="62"/>
      <c r="F1" s="62"/>
    </row>
    <row r="2" spans="1:6" x14ac:dyDescent="0.35">
      <c r="A2" s="1" t="s">
        <v>1</v>
      </c>
      <c r="B2" s="97" t="s">
        <v>2</v>
      </c>
      <c r="C2" s="98"/>
      <c r="D2" s="98"/>
      <c r="E2" s="98"/>
      <c r="F2" s="99"/>
    </row>
    <row r="3" spans="1:6" x14ac:dyDescent="0.35">
      <c r="A3" s="1" t="s">
        <v>3</v>
      </c>
      <c r="B3" s="97" t="s">
        <v>4</v>
      </c>
      <c r="C3" s="98"/>
      <c r="D3" s="98"/>
      <c r="E3" s="98"/>
      <c r="F3" s="99"/>
    </row>
    <row r="4" spans="1:6" x14ac:dyDescent="0.35">
      <c r="A4" s="1" t="s">
        <v>5</v>
      </c>
      <c r="B4" s="97" t="s">
        <v>6</v>
      </c>
      <c r="C4" s="98"/>
      <c r="D4" s="98"/>
      <c r="E4" s="98"/>
      <c r="F4" s="99"/>
    </row>
    <row r="5" spans="1:6" x14ac:dyDescent="0.35">
      <c r="A5" s="1" t="s">
        <v>7</v>
      </c>
      <c r="B5" s="3" t="s">
        <v>8</v>
      </c>
      <c r="C5" s="2"/>
      <c r="D5" s="2"/>
      <c r="E5" s="2"/>
      <c r="F5" s="2"/>
    </row>
    <row r="6" spans="1:6" x14ac:dyDescent="0.35">
      <c r="A6" s="1" t="s">
        <v>9</v>
      </c>
      <c r="B6" s="94">
        <v>5</v>
      </c>
      <c r="C6" s="95"/>
      <c r="D6" s="95"/>
      <c r="E6" s="95"/>
      <c r="F6" s="96"/>
    </row>
    <row r="7" spans="1:6" x14ac:dyDescent="0.35">
      <c r="A7" s="1" t="s">
        <v>10</v>
      </c>
      <c r="B7" s="5" t="s">
        <v>11</v>
      </c>
      <c r="C7" s="4"/>
      <c r="D7" s="4"/>
      <c r="E7" s="4"/>
      <c r="F7" s="4"/>
    </row>
    <row r="8" spans="1:6" x14ac:dyDescent="0.35">
      <c r="A8" s="1" t="s">
        <v>12</v>
      </c>
      <c r="B8" s="94" t="s">
        <v>11</v>
      </c>
      <c r="C8" s="95"/>
      <c r="D8" s="95"/>
      <c r="E8" s="95"/>
      <c r="F8" s="96"/>
    </row>
    <row r="9" spans="1:6" x14ac:dyDescent="0.35">
      <c r="A9" s="1" t="s">
        <v>13</v>
      </c>
      <c r="B9" s="94" t="s">
        <v>11</v>
      </c>
      <c r="C9" s="95"/>
      <c r="D9" s="95"/>
      <c r="E9" s="95"/>
      <c r="F9" s="96"/>
    </row>
    <row r="10" spans="1:6" x14ac:dyDescent="0.35">
      <c r="A10" s="1" t="s">
        <v>14</v>
      </c>
      <c r="B10" s="97" t="s">
        <v>15</v>
      </c>
      <c r="C10" s="98"/>
      <c r="D10" s="98"/>
      <c r="E10" s="98"/>
      <c r="F10" s="99"/>
    </row>
    <row r="11" spans="1:6" x14ac:dyDescent="0.35">
      <c r="A11" s="1" t="s">
        <v>16</v>
      </c>
      <c r="B11" s="3" t="s">
        <v>17</v>
      </c>
      <c r="C11" s="2"/>
      <c r="D11" s="2"/>
      <c r="E11" s="2"/>
      <c r="F11" s="2"/>
    </row>
    <row r="12" spans="1:6" x14ac:dyDescent="0.35">
      <c r="A12" s="1" t="s">
        <v>18</v>
      </c>
      <c r="B12" s="5"/>
      <c r="C12" s="6"/>
      <c r="D12" s="6"/>
      <c r="E12" s="6"/>
      <c r="F12" s="6"/>
    </row>
    <row r="13" spans="1:6" ht="14.4" customHeight="1" x14ac:dyDescent="0.35">
      <c r="A13" s="1" t="s">
        <v>19</v>
      </c>
      <c r="B13" s="5" t="s">
        <v>20</v>
      </c>
      <c r="C13" s="6"/>
      <c r="D13" s="6"/>
      <c r="E13" s="6"/>
      <c r="F13" s="6"/>
    </row>
    <row r="14" spans="1:6" x14ac:dyDescent="0.35">
      <c r="A14" s="1" t="s">
        <v>21</v>
      </c>
      <c r="B14" s="101" t="s">
        <v>22</v>
      </c>
      <c r="C14" s="101"/>
      <c r="D14" s="101"/>
      <c r="E14" s="101"/>
      <c r="F14" s="101"/>
    </row>
    <row r="15" spans="1:6" x14ac:dyDescent="0.35">
      <c r="A15" s="7"/>
      <c r="B15" s="7"/>
      <c r="C15" s="7"/>
      <c r="D15" s="7"/>
      <c r="E15" s="7"/>
      <c r="F15" s="7"/>
    </row>
    <row r="16" spans="1:6" x14ac:dyDescent="0.35">
      <c r="A16" s="86" t="s">
        <v>23</v>
      </c>
      <c r="B16" s="87"/>
      <c r="C16" s="87"/>
      <c r="D16" s="87"/>
      <c r="E16" s="87"/>
      <c r="F16" s="87"/>
    </row>
    <row r="17" spans="1:6" ht="14.4" customHeight="1" x14ac:dyDescent="0.35">
      <c r="A17" s="8" t="s">
        <v>24</v>
      </c>
      <c r="B17" s="9" t="s">
        <v>25</v>
      </c>
      <c r="C17" s="102" t="s">
        <v>26</v>
      </c>
      <c r="D17" s="102"/>
      <c r="E17" s="102"/>
      <c r="F17" s="102"/>
    </row>
    <row r="18" spans="1:6" ht="14.4" customHeight="1" x14ac:dyDescent="0.35">
      <c r="A18" s="8" t="s">
        <v>27</v>
      </c>
      <c r="B18" s="9" t="str">
        <f>IF(AND(E29,E30),"Yes","No")</f>
        <v>Yes</v>
      </c>
      <c r="C18" s="102" t="s">
        <v>28</v>
      </c>
      <c r="D18" s="102"/>
      <c r="E18" s="102"/>
      <c r="F18" s="102"/>
    </row>
    <row r="19" spans="1:6" ht="14.4" customHeight="1" x14ac:dyDescent="0.35">
      <c r="A19" s="8" t="s">
        <v>29</v>
      </c>
      <c r="B19" s="9" t="str">
        <f>IF(AND(F34&gt;5,F36&gt;5,F38&gt;5,F42&gt;5,F44&gt;5,F46&gt;5),"Yes","No")</f>
        <v>Yes</v>
      </c>
      <c r="C19" s="103" t="s">
        <v>30</v>
      </c>
      <c r="D19" s="104"/>
      <c r="E19" s="104"/>
      <c r="F19" s="105"/>
    </row>
    <row r="20" spans="1:6" ht="14.4" customHeight="1" x14ac:dyDescent="0.35">
      <c r="A20" s="8" t="s">
        <v>31</v>
      </c>
      <c r="B20" s="10" t="s">
        <v>32</v>
      </c>
      <c r="C20" s="83" t="s">
        <v>33</v>
      </c>
      <c r="D20" s="83"/>
      <c r="E20" s="83"/>
      <c r="F20" s="83"/>
    </row>
    <row r="21" spans="1:6" ht="14.4" customHeight="1" x14ac:dyDescent="0.35">
      <c r="A21" s="11" t="s">
        <v>34</v>
      </c>
      <c r="B21" s="12">
        <f>IF(AND(B18="Yes",B19="Yes"),F52,IF(F52&gt;5,5,F52))</f>
        <v>6</v>
      </c>
      <c r="C21" s="82" t="s">
        <v>35</v>
      </c>
      <c r="D21" s="83"/>
      <c r="E21" s="83"/>
      <c r="F21" s="83"/>
    </row>
    <row r="22" spans="1:6" ht="14.4" customHeight="1" x14ac:dyDescent="0.35">
      <c r="A22" s="11" t="s">
        <v>36</v>
      </c>
      <c r="B22" s="13">
        <f>IF(B18="Nee","bijna voldoende of max. 5",IF(B19="Nee","bijna voldoende of max. 5",IF(B21=0,"geen beoordeling",IF(B20="Grade",B21,IF(ROUND(B21,0)=1,"very bad",IF(ROUND(B21,0)=2,"bad",IF(ROUND(B21,0)=3,"very insufficient",IF(ROUND(B21,0)=4,"insufficient",IF(ROUND(B21,0)=5,"almost sufficient",IF(ROUND(B21,0)=6,"sufficient",IF(ROUND(B21,0)=7,"satisfactory",IF(ROUND(B21,0)=8,"good",IF(ROUND(B21,0)=9,"very good",IF(ROUND(B21,0)=10,"excellent"))))))))))))))</f>
        <v>6</v>
      </c>
      <c r="C22" s="84" t="s">
        <v>37</v>
      </c>
      <c r="D22" s="85"/>
      <c r="E22" s="85"/>
      <c r="F22" s="85"/>
    </row>
    <row r="23" spans="1:6" ht="28.65" customHeight="1" x14ac:dyDescent="0.35">
      <c r="A23" s="24" t="s">
        <v>38</v>
      </c>
      <c r="B23" s="25" t="s">
        <v>39</v>
      </c>
      <c r="C23" s="26" t="s">
        <v>40</v>
      </c>
      <c r="D23" s="23"/>
      <c r="E23" s="23"/>
      <c r="F23" s="23"/>
    </row>
    <row r="24" spans="1:6" x14ac:dyDescent="0.35">
      <c r="A24" s="7"/>
      <c r="B24" s="7"/>
      <c r="C24" s="7"/>
      <c r="D24" s="7"/>
      <c r="E24" s="7"/>
      <c r="F24" s="7"/>
    </row>
    <row r="25" spans="1:6" x14ac:dyDescent="0.35">
      <c r="A25" s="86" t="s">
        <v>41</v>
      </c>
      <c r="B25" s="87"/>
      <c r="C25" s="87"/>
      <c r="D25" s="87"/>
      <c r="E25" s="87"/>
      <c r="F25" s="87"/>
    </row>
    <row r="26" spans="1:6" x14ac:dyDescent="0.35">
      <c r="A26" s="63" t="s">
        <v>42</v>
      </c>
      <c r="B26" s="100"/>
      <c r="C26" s="100"/>
      <c r="D26" s="100"/>
      <c r="E26" s="100"/>
      <c r="F26" s="100"/>
    </row>
    <row r="27" spans="1:6" x14ac:dyDescent="0.35">
      <c r="A27" s="7"/>
      <c r="B27" s="7"/>
      <c r="C27" s="7"/>
      <c r="D27" s="7"/>
      <c r="E27" s="7"/>
      <c r="F27" s="7"/>
    </row>
    <row r="28" spans="1:6" x14ac:dyDescent="0.35">
      <c r="A28" s="62" t="s">
        <v>43</v>
      </c>
      <c r="B28" s="62"/>
      <c r="C28" s="62"/>
      <c r="D28" s="62"/>
      <c r="E28" s="70" t="s">
        <v>44</v>
      </c>
      <c r="F28" s="71"/>
    </row>
    <row r="29" spans="1:6" x14ac:dyDescent="0.35">
      <c r="A29" s="14" t="s">
        <v>45</v>
      </c>
      <c r="B29" s="15"/>
      <c r="C29" s="15"/>
      <c r="D29" s="16"/>
      <c r="E29" s="72" t="b">
        <v>1</v>
      </c>
      <c r="F29" s="73"/>
    </row>
    <row r="30" spans="1:6" x14ac:dyDescent="0.35">
      <c r="A30" s="59" t="s">
        <v>46</v>
      </c>
      <c r="B30" s="60"/>
      <c r="C30" s="60"/>
      <c r="D30" s="61"/>
      <c r="E30" s="72" t="b">
        <v>1</v>
      </c>
      <c r="F30" s="74"/>
    </row>
    <row r="31" spans="1:6" x14ac:dyDescent="0.35">
      <c r="A31" s="7"/>
      <c r="B31" s="7"/>
      <c r="C31" s="7"/>
      <c r="D31" s="7"/>
      <c r="E31" s="7"/>
      <c r="F31" s="7"/>
    </row>
    <row r="32" spans="1:6" ht="32.4" customHeight="1" x14ac:dyDescent="0.35">
      <c r="A32" s="63" t="s">
        <v>47</v>
      </c>
      <c r="B32" s="63"/>
      <c r="C32" s="63"/>
      <c r="D32" s="63"/>
      <c r="E32" s="63"/>
      <c r="F32" s="63"/>
    </row>
    <row r="33" spans="1:8" ht="36.65" customHeight="1" x14ac:dyDescent="0.35">
      <c r="A33" s="17"/>
      <c r="B33" s="18" t="s">
        <v>48</v>
      </c>
      <c r="C33" s="18" t="s">
        <v>49</v>
      </c>
      <c r="D33" s="18" t="s">
        <v>50</v>
      </c>
      <c r="E33" s="19" t="s">
        <v>51</v>
      </c>
      <c r="F33" s="106" t="s">
        <v>52</v>
      </c>
      <c r="G33" s="38"/>
    </row>
    <row r="34" spans="1:8" ht="385.5" customHeight="1" x14ac:dyDescent="0.35">
      <c r="A34" s="33" t="s">
        <v>53</v>
      </c>
      <c r="B34" s="43" t="s">
        <v>54</v>
      </c>
      <c r="C34" s="56" t="s">
        <v>55</v>
      </c>
      <c r="D34" s="56" t="s">
        <v>56</v>
      </c>
      <c r="E34" s="35">
        <v>2</v>
      </c>
      <c r="F34" s="107">
        <v>6</v>
      </c>
      <c r="G34" s="38"/>
    </row>
    <row r="35" spans="1:8" ht="27.9" customHeight="1" x14ac:dyDescent="0.35">
      <c r="A35" s="75" t="s">
        <v>57</v>
      </c>
      <c r="B35" s="76"/>
      <c r="C35" s="76"/>
      <c r="D35" s="76"/>
      <c r="E35" s="76"/>
      <c r="F35" s="76"/>
    </row>
    <row r="36" spans="1:8" ht="174" x14ac:dyDescent="0.35">
      <c r="A36" s="33" t="s">
        <v>58</v>
      </c>
      <c r="B36" s="34" t="s">
        <v>59</v>
      </c>
      <c r="C36" s="45" t="s">
        <v>60</v>
      </c>
      <c r="D36" s="48" t="s">
        <v>61</v>
      </c>
      <c r="E36" s="35">
        <v>1</v>
      </c>
      <c r="F36" s="108">
        <v>6</v>
      </c>
      <c r="G36" s="38"/>
    </row>
    <row r="37" spans="1:8" s="29" customFormat="1" ht="27.9" customHeight="1" x14ac:dyDescent="0.35">
      <c r="A37" s="75" t="s">
        <v>57</v>
      </c>
      <c r="B37" s="76"/>
      <c r="C37" s="76"/>
      <c r="D37" s="76"/>
      <c r="E37" s="76"/>
      <c r="F37" s="76"/>
      <c r="G37" s="1"/>
      <c r="H37" s="50"/>
    </row>
    <row r="38" spans="1:8" s="36" customFormat="1" ht="132.65" customHeight="1" x14ac:dyDescent="0.35">
      <c r="A38" s="8" t="s">
        <v>62</v>
      </c>
      <c r="B38" s="8" t="s">
        <v>63</v>
      </c>
      <c r="C38" s="46" t="s">
        <v>64</v>
      </c>
      <c r="D38" s="46" t="s">
        <v>65</v>
      </c>
      <c r="E38" s="52">
        <v>1</v>
      </c>
      <c r="F38" s="108">
        <v>6</v>
      </c>
      <c r="H38" s="113"/>
    </row>
    <row r="39" spans="1:8" ht="27.9" customHeight="1" x14ac:dyDescent="0.35">
      <c r="A39" s="67" t="s">
        <v>57</v>
      </c>
      <c r="B39" s="68"/>
      <c r="C39" s="68"/>
      <c r="D39" s="68"/>
      <c r="E39" s="68"/>
      <c r="F39" s="69"/>
    </row>
    <row r="40" spans="1:8" ht="27.9" customHeight="1" x14ac:dyDescent="0.35">
      <c r="A40" s="78" t="s">
        <v>85</v>
      </c>
      <c r="B40" s="79"/>
      <c r="C40" s="79"/>
      <c r="D40" s="51"/>
      <c r="E40" s="55">
        <v>0.5</v>
      </c>
      <c r="F40" s="109">
        <f>ROUNDDOWN((E34*F34+E36*F36+E38*F38)/(E34+E36+E38),1)</f>
        <v>6</v>
      </c>
    </row>
    <row r="41" spans="1:8" s="32" customFormat="1" ht="27.9" customHeight="1" x14ac:dyDescent="0.35">
      <c r="A41" s="30" t="s">
        <v>66</v>
      </c>
      <c r="B41" s="31"/>
      <c r="C41" s="31"/>
      <c r="D41" s="31"/>
      <c r="E41" s="31"/>
      <c r="F41" s="31"/>
      <c r="G41" s="1"/>
    </row>
    <row r="42" spans="1:8" ht="351.75" customHeight="1" x14ac:dyDescent="0.35">
      <c r="A42" s="28" t="s">
        <v>67</v>
      </c>
      <c r="B42" s="21" t="s">
        <v>68</v>
      </c>
      <c r="C42" s="44" t="s">
        <v>69</v>
      </c>
      <c r="D42" s="44" t="s">
        <v>70</v>
      </c>
      <c r="E42" s="27">
        <v>2</v>
      </c>
      <c r="F42" s="108">
        <v>6</v>
      </c>
      <c r="G42" s="38"/>
    </row>
    <row r="43" spans="1:8" x14ac:dyDescent="0.35">
      <c r="A43" s="64" t="s">
        <v>57</v>
      </c>
      <c r="B43" s="65"/>
      <c r="C43" s="65"/>
      <c r="D43" s="65"/>
      <c r="E43" s="65"/>
      <c r="F43" s="66"/>
    </row>
    <row r="44" spans="1:8" ht="174" x14ac:dyDescent="0.35">
      <c r="A44" s="20" t="s">
        <v>71</v>
      </c>
      <c r="B44" s="34" t="s">
        <v>59</v>
      </c>
      <c r="C44" s="45" t="s">
        <v>60</v>
      </c>
      <c r="D44" s="48" t="s">
        <v>61</v>
      </c>
      <c r="E44" s="22">
        <v>1</v>
      </c>
      <c r="F44" s="108">
        <v>6</v>
      </c>
      <c r="G44" s="38"/>
    </row>
    <row r="45" spans="1:8" x14ac:dyDescent="0.35">
      <c r="A45" s="64" t="s">
        <v>57</v>
      </c>
      <c r="B45" s="65"/>
      <c r="C45" s="65"/>
      <c r="D45" s="65"/>
      <c r="E45" s="65"/>
      <c r="F45" s="66"/>
    </row>
    <row r="46" spans="1:8" s="36" customFormat="1" ht="132.65" customHeight="1" x14ac:dyDescent="0.35">
      <c r="A46" s="8" t="s">
        <v>62</v>
      </c>
      <c r="B46" s="8" t="s">
        <v>63</v>
      </c>
      <c r="C46" s="46" t="s">
        <v>64</v>
      </c>
      <c r="D46" s="46" t="s">
        <v>72</v>
      </c>
      <c r="E46" s="52">
        <v>1</v>
      </c>
      <c r="F46" s="108">
        <v>6</v>
      </c>
      <c r="H46" s="113"/>
    </row>
    <row r="47" spans="1:8" x14ac:dyDescent="0.35">
      <c r="A47" s="64" t="s">
        <v>57</v>
      </c>
      <c r="B47" s="65"/>
      <c r="C47" s="65"/>
      <c r="D47" s="65"/>
      <c r="E47" s="65"/>
      <c r="F47" s="88"/>
    </row>
    <row r="48" spans="1:8" ht="14.4" customHeight="1" x14ac:dyDescent="0.35">
      <c r="A48" s="80" t="s">
        <v>86</v>
      </c>
      <c r="B48" s="81"/>
      <c r="C48" s="81"/>
      <c r="D48" s="51"/>
      <c r="E48" s="55">
        <v>0.5</v>
      </c>
      <c r="F48" s="109">
        <f>ROUNDDOWN((E42*F42+E44*F44+E46*F46)/(E42+E44+E46),1)</f>
        <v>6</v>
      </c>
    </row>
    <row r="49" spans="1:10" x14ac:dyDescent="0.35">
      <c r="D49" s="47"/>
      <c r="F49" s="49"/>
    </row>
    <row r="50" spans="1:10" x14ac:dyDescent="0.35">
      <c r="A50" s="53"/>
      <c r="B50" s="53"/>
      <c r="C50" s="54" t="s">
        <v>80</v>
      </c>
      <c r="D50" s="91" t="s">
        <v>81</v>
      </c>
      <c r="E50" s="92"/>
      <c r="F50" s="110">
        <f>F40</f>
        <v>6</v>
      </c>
    </row>
    <row r="51" spans="1:10" x14ac:dyDescent="0.35">
      <c r="D51" s="91" t="s">
        <v>82</v>
      </c>
      <c r="E51" s="92"/>
      <c r="F51" s="110">
        <f>F48</f>
        <v>6</v>
      </c>
    </row>
    <row r="52" spans="1:10" x14ac:dyDescent="0.35">
      <c r="D52" s="77" t="s">
        <v>32</v>
      </c>
      <c r="E52" s="77"/>
      <c r="F52" s="111">
        <f>ROUNDDOWN((E40*F40+E48*F48),1)</f>
        <v>6</v>
      </c>
    </row>
    <row r="53" spans="1:10" ht="14.4" customHeight="1" x14ac:dyDescent="0.35">
      <c r="D53" s="93" t="s">
        <v>73</v>
      </c>
      <c r="E53" s="93"/>
      <c r="F53" s="112">
        <v>2</v>
      </c>
    </row>
    <row r="54" spans="1:10" ht="22.5" customHeight="1" x14ac:dyDescent="0.35">
      <c r="D54" s="37" t="s">
        <v>74</v>
      </c>
      <c r="E54" s="29">
        <f>F52*F53</f>
        <v>12</v>
      </c>
    </row>
    <row r="55" spans="1:10" x14ac:dyDescent="0.35">
      <c r="D55" s="38"/>
      <c r="E55" s="38"/>
    </row>
    <row r="56" spans="1:10" x14ac:dyDescent="0.35">
      <c r="D56" s="39" t="s">
        <v>75</v>
      </c>
      <c r="E56" s="40"/>
      <c r="F56" s="89" t="s">
        <v>76</v>
      </c>
      <c r="G56" s="90"/>
      <c r="H56" s="90"/>
      <c r="I56" s="90"/>
      <c r="J56" s="90"/>
    </row>
    <row r="57" spans="1:10" x14ac:dyDescent="0.35">
      <c r="D57" s="41" t="s">
        <v>77</v>
      </c>
      <c r="E57" s="42"/>
      <c r="F57" s="57"/>
      <c r="G57" s="58"/>
      <c r="H57" s="58"/>
      <c r="I57" s="58"/>
      <c r="J57" s="58"/>
    </row>
    <row r="58" spans="1:10" x14ac:dyDescent="0.35">
      <c r="D58" s="41" t="s">
        <v>78</v>
      </c>
      <c r="E58" s="42"/>
      <c r="F58" s="57"/>
      <c r="G58" s="58"/>
      <c r="H58" s="58"/>
      <c r="I58" s="58"/>
      <c r="J58" s="58"/>
    </row>
    <row r="59" spans="1:10" x14ac:dyDescent="0.35">
      <c r="D59" s="41" t="s">
        <v>83</v>
      </c>
      <c r="E59" s="42"/>
      <c r="F59" s="57"/>
      <c r="G59" s="58"/>
      <c r="H59" s="58"/>
      <c r="I59" s="58"/>
      <c r="J59" s="58"/>
    </row>
    <row r="60" spans="1:10" x14ac:dyDescent="0.35">
      <c r="D60" s="41" t="s">
        <v>84</v>
      </c>
      <c r="E60" s="42"/>
      <c r="F60" s="57"/>
      <c r="G60" s="58"/>
      <c r="H60" s="58"/>
      <c r="I60" s="58"/>
      <c r="J60" s="58"/>
    </row>
  </sheetData>
  <dataConsolidate/>
  <mergeCells count="38">
    <mergeCell ref="C18:F18"/>
    <mergeCell ref="C19:F19"/>
    <mergeCell ref="C20:F20"/>
    <mergeCell ref="B9:F9"/>
    <mergeCell ref="B10:F10"/>
    <mergeCell ref="B14:F14"/>
    <mergeCell ref="A16:F16"/>
    <mergeCell ref="C17:F17"/>
    <mergeCell ref="B8:F8"/>
    <mergeCell ref="A1:F1"/>
    <mergeCell ref="B2:F2"/>
    <mergeCell ref="B3:F3"/>
    <mergeCell ref="B4:F4"/>
    <mergeCell ref="B6:F6"/>
    <mergeCell ref="C21:F21"/>
    <mergeCell ref="C22:F22"/>
    <mergeCell ref="A25:F25"/>
    <mergeCell ref="A47:F47"/>
    <mergeCell ref="F56:J56"/>
    <mergeCell ref="D50:E50"/>
    <mergeCell ref="D51:E51"/>
    <mergeCell ref="D53:E53"/>
    <mergeCell ref="A26:F26"/>
    <mergeCell ref="F57:J60"/>
    <mergeCell ref="A30:D30"/>
    <mergeCell ref="A28:D28"/>
    <mergeCell ref="A32:F32"/>
    <mergeCell ref="A43:F43"/>
    <mergeCell ref="A45:F45"/>
    <mergeCell ref="A39:F39"/>
    <mergeCell ref="E28:F28"/>
    <mergeCell ref="E29:F29"/>
    <mergeCell ref="E30:F30"/>
    <mergeCell ref="A37:F37"/>
    <mergeCell ref="A35:F35"/>
    <mergeCell ref="D52:E52"/>
    <mergeCell ref="A40:C40"/>
    <mergeCell ref="A48:C48"/>
  </mergeCells>
  <dataValidations count="4">
    <dataValidation type="list" allowBlank="1" showInputMessage="1" showErrorMessage="1" sqref="B5" xr:uid="{1D095B96-E08B-416C-881D-FEE7493B9465}">
      <formula1>"NLQF-4+ (basic),NLQF-5 (advanced),NLQF-6 (bachelor)"</formula1>
    </dataValidation>
    <dataValidation type="list" allowBlank="1" showInputMessage="1" showErrorMessage="1" sqref="B11" xr:uid="{067F6758-72D7-4141-B388-B536D2B09CC8}">
      <formula1>"Individual,Group"</formula1>
    </dataValidation>
    <dataValidation type="list" allowBlank="1" showInputMessage="1" showErrorMessage="1" sqref="B17" xr:uid="{6A7F21B9-7725-4E60-8D31-EC9BBF3575D2}">
      <formula1>"First,Second,Extra,Third"</formula1>
    </dataValidation>
    <dataValidation type="list" allowBlank="1" showInputMessage="1" showErrorMessage="1" sqref="F37 F35 F39 F41" xr:uid="{4D7EF038-297B-45C5-81B1-8D90630ADD70}">
      <formula1>"Click here,Insufficient (4),Almost sufficient (5),Sufficient (6),Satisfactory (7),Good (8),Very good (9),Excellent (10)"</formula1>
    </dataValidation>
  </dataValidation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0DD287B5-21E1-4CBB-B6F9-775EE4401F2A}">
          <x14:formula1>
            <xm:f>Sheet1!$A$1:$A$8</xm:f>
          </x14:formula1>
          <xm:sqref>F42 F34 F36 F44 F38 F46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0719-3B48-4951-87E3-50D51937D139}">
  <dimension ref="A1:A8"/>
  <sheetViews>
    <sheetView workbookViewId="0">
      <selection activeCell="A9" sqref="A9"/>
    </sheetView>
  </sheetViews>
  <sheetFormatPr defaultRowHeight="14.5" x14ac:dyDescent="0.35"/>
  <sheetData>
    <row r="1" spans="1:1" x14ac:dyDescent="0.35">
      <c r="A1" t="s">
        <v>79</v>
      </c>
    </row>
    <row r="2" spans="1:1" x14ac:dyDescent="0.35">
      <c r="A2">
        <v>4</v>
      </c>
    </row>
    <row r="3" spans="1:1" x14ac:dyDescent="0.35">
      <c r="A3">
        <v>5</v>
      </c>
    </row>
    <row r="4" spans="1:1" x14ac:dyDescent="0.35">
      <c r="A4">
        <v>6</v>
      </c>
    </row>
    <row r="5" spans="1:1" x14ac:dyDescent="0.35">
      <c r="A5">
        <v>7</v>
      </c>
    </row>
    <row r="6" spans="1:1" x14ac:dyDescent="0.35">
      <c r="A6">
        <v>8</v>
      </c>
    </row>
    <row r="7" spans="1:1" x14ac:dyDescent="0.35">
      <c r="A7">
        <v>9</v>
      </c>
    </row>
    <row r="8" spans="1:1" x14ac:dyDescent="0.35">
      <c r="A8">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ED84C79C8648246838A36D47B79241F" ma:contentTypeVersion="14" ma:contentTypeDescription="Een nieuw document maken." ma:contentTypeScope="" ma:versionID="b342c753e665755a8d48aa16fd6262c3">
  <xsd:schema xmlns:xsd="http://www.w3.org/2001/XMLSchema" xmlns:xs="http://www.w3.org/2001/XMLSchema" xmlns:p="http://schemas.microsoft.com/office/2006/metadata/properties" xmlns:ns2="e8218b0d-4710-49e6-91b2-b6dbe75a797f" xmlns:ns3="546e1e3f-0bfc-46cd-9229-91d555de8a00" targetNamespace="http://schemas.microsoft.com/office/2006/metadata/properties" ma:root="true" ma:fieldsID="6d273ae489b99cbb28747ab3fd62f0c3" ns2:_="" ns3:_="">
    <xsd:import namespace="e8218b0d-4710-49e6-91b2-b6dbe75a797f"/>
    <xsd:import namespace="546e1e3f-0bfc-46cd-9229-91d555de8a0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218b0d-4710-49e6-91b2-b6dbe75a79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1c6a0e08-1576-455b-af28-552984f92fc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6e1e3f-0bfc-46cd-9229-91d555de8a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a38ebf-b26e-40be-85eb-7a5e876e8278}" ma:internalName="TaxCatchAll" ma:showField="CatchAllData" ma:web="546e1e3f-0bfc-46cd-9229-91d555de8a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8218b0d-4710-49e6-91b2-b6dbe75a797f">
      <Terms xmlns="http://schemas.microsoft.com/office/infopath/2007/PartnerControls"/>
    </lcf76f155ced4ddcb4097134ff3c332f>
    <TaxCatchAll xmlns="546e1e3f-0bfc-46cd-9229-91d555de8a00" xsi:nil="true"/>
  </documentManagement>
</p:properties>
</file>

<file path=customXml/itemProps1.xml><?xml version="1.0" encoding="utf-8"?>
<ds:datastoreItem xmlns:ds="http://schemas.openxmlformats.org/officeDocument/2006/customXml" ds:itemID="{D83B6A1A-A3B8-4301-852E-461986AFF25C}">
  <ds:schemaRefs>
    <ds:schemaRef ds:uri="http://schemas.microsoft.com/sharepoint/v3/contenttype/forms"/>
  </ds:schemaRefs>
</ds:datastoreItem>
</file>

<file path=customXml/itemProps2.xml><?xml version="1.0" encoding="utf-8"?>
<ds:datastoreItem xmlns:ds="http://schemas.openxmlformats.org/officeDocument/2006/customXml" ds:itemID="{E4F39A4E-B32C-4E4B-9DAA-03B90664ED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218b0d-4710-49e6-91b2-b6dbe75a797f"/>
    <ds:schemaRef ds:uri="546e1e3f-0bfc-46cd-9229-91d555de8a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9948D2-D6B0-4446-8C8C-F3F49BD7AB7D}">
  <ds:schemaRefs>
    <ds:schemaRef ds:uri="http://schemas.microsoft.com/office/2006/metadata/properties"/>
    <ds:schemaRef ds:uri="http://schemas.microsoft.com/office/infopath/2007/PartnerControls"/>
    <ds:schemaRef ds:uri="e8218b0d-4710-49e6-91b2-b6dbe75a797f"/>
    <ds:schemaRef ds:uri="546e1e3f-0bfc-46cd-9229-91d555de8a00"/>
  </ds:schemaRefs>
</ds:datastoreItem>
</file>

<file path=docMetadata/LabelInfo.xml><?xml version="1.0" encoding="utf-8"?>
<clbl:labelList xmlns:clbl="http://schemas.microsoft.com/office/2020/mipLabelMetadata">
  <clbl:label id="{e36377b7-70c4-4493-a338-095918d327e9}" enabled="0" method="" siteId="{e36377b7-70c4-4493-a338-095918d327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Blad1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 Rietberg</dc:creator>
  <cp:keywords/>
  <dc:description/>
  <cp:lastModifiedBy>Boris Ney</cp:lastModifiedBy>
  <cp:revision/>
  <dcterms:created xsi:type="dcterms:W3CDTF">2025-01-23T13:00:28Z</dcterms:created>
  <dcterms:modified xsi:type="dcterms:W3CDTF">2026-06-23T07:45:34Z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0x010100CED84C79C8648246838A36D47B79241F</vt:lpwstr>
  </property>
  <property fmtid="{D5CDD505-2E9C-101B-9397-08002B2CF9AE}" pid="3" name="MediaServiceImageTags">
    <vt:lpwstr/>
  </property>
</Properties>
</file>